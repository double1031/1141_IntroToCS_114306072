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ther/Downloads/"/>
    </mc:Choice>
  </mc:AlternateContent>
  <xr:revisionPtr revIDLastSave="0" documentId="8_{BF1674D2-3C1D-4748-B1E4-E37866D03C34}" xr6:coauthVersionLast="47" xr6:coauthVersionMax="47" xr10:uidLastSave="{00000000-0000-0000-0000-000000000000}"/>
  <bookViews>
    <workbookView xWindow="0" yWindow="720" windowWidth="29400" windowHeight="18400" xr2:uid="{60C2E2F6-AD98-4042-9BF5-DA3DB7B4AD4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H17" i="1"/>
  <c r="D17" i="1"/>
  <c r="C17" i="1"/>
  <c r="J1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<sst xmlns="http://schemas.openxmlformats.org/spreadsheetml/2006/main" count="34" uniqueCount="34">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</sst>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/>
              <a:t>overall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4-A24C-9CF4-BBA66A0689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937264"/>
        <c:axId val="1090083807"/>
      </c:barChart>
      <c:catAx>
        <c:axId val="7749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0083807"/>
        <c:crosses val="autoZero"/>
        <c:auto val="1"/>
        <c:lblAlgn val="ctr"/>
        <c:lblOffset val="100"/>
        <c:noMultiLvlLbl val="0"/>
      </c:catAx>
      <c:valAx>
        <c:axId val="10900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493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工作表1!$L$18:$L$19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工作表1!$M$18:$M$19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A-504F-B7C3-2798CB7B2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355472</xdr:colOff>
      <xdr:row>24</xdr:row>
      <xdr:rowOff>3259</xdr:rowOff>
    </xdr:from>
    <xdr:to>
      <xdr:col>10</xdr:col>
      <xdr:colOff>1609741</xdr:colOff>
      <xdr:row>38</xdr:row>
      <xdr:rowOff>43899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93207AA-8835-2849-70B5-07D5D02F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2131</xdr:colOff>
      <xdr:row>19</xdr:row>
      <xdr:rowOff>21957</xdr:rowOff>
    </xdr:from>
    <xdr:to>
      <xdr:col>12</xdr:col>
      <xdr:colOff>659223</xdr:colOff>
      <xdr:row>33</xdr:row>
      <xdr:rowOff>112268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3731E300-0AAE-07D5-B98B-D8B25C8DD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zoomScale="81" zoomScaleNormal="75" workbookViewId="0">
      <selection activeCell="N13" sqref="N13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AVERAGE(H2:I2)</f>
        <v>91.7</v>
      </c>
      <c r="K2" t="str">
        <f t="shared" ref="K2:K14" si="0">IF(J2&gt;=90,"A",IF(J2&gt;=80,"B",IF(J2&gt;=70,"C",IF(J2&gt;=60,"D","F"))))</f>
        <v>A</v>
      </c>
      <c r="L2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1">AVERAGE(C3:G3)</f>
        <v>86</v>
      </c>
      <c r="I3" s="1">
        <v>94</v>
      </c>
      <c r="J3">
        <f t="shared" ref="J3:J15" si="2">AVERAGE(H3:I3)</f>
        <v>90</v>
      </c>
      <c r="K3" t="str">
        <f t="shared" si="0"/>
        <v>A</v>
      </c>
      <c r="L3" t="str">
        <f t="shared" ref="L3:L15" si="3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1"/>
        <v>82.4</v>
      </c>
      <c r="I4" s="1">
        <v>80</v>
      </c>
      <c r="J4">
        <f t="shared" si="2"/>
        <v>81.2</v>
      </c>
      <c r="K4" t="str">
        <f t="shared" si="0"/>
        <v>B</v>
      </c>
      <c r="L4" t="str">
        <f t="shared" si="3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1"/>
        <v>81.599999999999994</v>
      </c>
      <c r="I5" s="1">
        <v>80</v>
      </c>
      <c r="J5">
        <f t="shared" si="2"/>
        <v>80.8</v>
      </c>
      <c r="K5" t="str">
        <f t="shared" si="0"/>
        <v>B</v>
      </c>
      <c r="L5" t="str">
        <f t="shared" si="3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1"/>
        <v>81.400000000000006</v>
      </c>
      <c r="I6" s="1">
        <v>88</v>
      </c>
      <c r="J6">
        <f t="shared" si="2"/>
        <v>84.7</v>
      </c>
      <c r="K6" t="str">
        <f t="shared" si="0"/>
        <v>B</v>
      </c>
      <c r="L6" t="str">
        <f t="shared" si="3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1"/>
        <v>80.599999999999994</v>
      </c>
      <c r="I7" s="1">
        <v>81</v>
      </c>
      <c r="J7">
        <f t="shared" si="2"/>
        <v>80.8</v>
      </c>
      <c r="K7" t="str">
        <f t="shared" si="0"/>
        <v>B</v>
      </c>
      <c r="L7" t="str">
        <f t="shared" si="3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1"/>
        <v>78.8</v>
      </c>
      <c r="I8" s="1">
        <v>77</v>
      </c>
      <c r="J8">
        <f t="shared" si="2"/>
        <v>77.900000000000006</v>
      </c>
      <c r="K8" t="str">
        <f t="shared" si="0"/>
        <v>C</v>
      </c>
      <c r="L8" t="str">
        <f t="shared" si="3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1"/>
        <v>75.400000000000006</v>
      </c>
      <c r="I9" s="1">
        <v>73</v>
      </c>
      <c r="J9">
        <f t="shared" si="2"/>
        <v>74.2</v>
      </c>
      <c r="K9" t="str">
        <f t="shared" si="0"/>
        <v>C</v>
      </c>
      <c r="L9" t="str">
        <f t="shared" si="3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1"/>
        <v>73.400000000000006</v>
      </c>
      <c r="I10" s="1">
        <v>77</v>
      </c>
      <c r="J10">
        <f t="shared" si="2"/>
        <v>75.2</v>
      </c>
      <c r="K10" t="str">
        <f t="shared" si="0"/>
        <v>C</v>
      </c>
      <c r="L10" t="str">
        <f t="shared" si="3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1"/>
        <v>73.2</v>
      </c>
      <c r="I11" s="1">
        <v>82</v>
      </c>
      <c r="J11">
        <f t="shared" si="2"/>
        <v>77.599999999999994</v>
      </c>
      <c r="K11" t="str">
        <f t="shared" si="0"/>
        <v>C</v>
      </c>
      <c r="L11" t="str">
        <f t="shared" si="3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1"/>
        <v>73.2</v>
      </c>
      <c r="I12" s="1">
        <v>88</v>
      </c>
      <c r="J12">
        <f t="shared" si="2"/>
        <v>80.599999999999994</v>
      </c>
      <c r="K12" t="str">
        <f t="shared" si="0"/>
        <v>B</v>
      </c>
      <c r="L12" t="str">
        <f t="shared" si="3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1"/>
        <v>66</v>
      </c>
      <c r="I13" s="1">
        <v>52</v>
      </c>
      <c r="J13">
        <f t="shared" si="2"/>
        <v>59</v>
      </c>
      <c r="K13" t="str">
        <f t="shared" si="0"/>
        <v>F</v>
      </c>
      <c r="L13" t="str">
        <f t="shared" si="3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1"/>
        <v>64.8</v>
      </c>
      <c r="I14" s="1">
        <v>69</v>
      </c>
      <c r="J14">
        <f t="shared" si="2"/>
        <v>66.900000000000006</v>
      </c>
      <c r="K14" t="str">
        <f t="shared" si="0"/>
        <v>D</v>
      </c>
      <c r="L14" t="str">
        <f t="shared" si="3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1"/>
        <v>57.2</v>
      </c>
      <c r="I15" s="1">
        <v>54</v>
      </c>
      <c r="J15">
        <f t="shared" si="2"/>
        <v>55.6</v>
      </c>
      <c r="K15" t="str">
        <f t="shared" ref="K14:K15" si="4">IF(J15&gt;=90,"A",IF(J15&gt;=80,"B",IF(J15&gt;=70,"C",IF(J15&gt;=60,"D","F"))))</f>
        <v>F</v>
      </c>
      <c r="L15" t="str">
        <f t="shared" si="3"/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3">
      <c r="C17">
        <f>LARGE(C2:C15,1)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</row>
    <row r="18" spans="3:13">
      <c r="L18" t="s">
        <v>32</v>
      </c>
      <c r="M18">
        <f>COUNTIF(L2:L15,"Pass")</f>
        <v>12</v>
      </c>
    </row>
    <row r="19" spans="3:13">
      <c r="L19" t="s">
        <v>33</v>
      </c>
      <c r="M19">
        <f>COUNTIF(L2:L15,"Fail")</f>
        <v>2</v>
      </c>
    </row>
    <row r="24" spans="3:13" ht="16">
      <c r="J24" s="4" t="s">
        <v>30</v>
      </c>
    </row>
  </sheetData>
  <phoneticPr fontId="2" type="noConversion"/>
  <conditionalFormatting sqref="L2:L15">
    <cfRule type="cellIs" dxfId="1" priority="2" operator="equal">
      <formula>"pass"</formula>
    </cfRule>
  </conditionalFormatting>
  <conditionalFormatting sqref="L13:L15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Microsoft Office User</cp:lastModifiedBy>
  <dcterms:created xsi:type="dcterms:W3CDTF">2023-10-19T05:27:10Z</dcterms:created>
  <dcterms:modified xsi:type="dcterms:W3CDTF">2025-10-09T15:27:25Z</dcterms:modified>
</cp:coreProperties>
</file>